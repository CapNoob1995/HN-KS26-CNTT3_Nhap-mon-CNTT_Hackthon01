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hChup" sheetId="1" r:id="rId5"/>
    <sheet state="visible" name="GoiChup" sheetId="2" r:id="rId6"/>
  </sheets>
  <definedNames>
    <definedName hidden="1" localSheetId="0" name="Z_C42A514D_0399_4DBE_9AF3_ECA017267A63_.wvu.FilterData">LichChup!$A$1:$G$16</definedName>
    <definedName name="SlicerCache_Table_1_Col_1">#N/A</definedName>
  </definedNames>
  <calcPr/>
  <customWorkbookViews>
    <customWorkbookView activeSheetId="0" maximized="1" windowHeight="0" windowWidth="0" guid="{C42A514D-0399-4DBE-9AF3-ECA017267A63}" name="Bộ lọc 1"/>
  </customWorkbookViews>
  <extLst>
    <ext uri="{46BE6895-7355-4a93-B00E-2C351335B9C9}">
      <x15:slicerCaches>
        <x14:slicerCache r:id="rId7"/>
      </x15:slicerCaches>
    </ext>
  </extLst>
</workbook>
</file>

<file path=xl/sharedStrings.xml><?xml version="1.0" encoding="utf-8"?>
<sst xmlns="http://schemas.openxmlformats.org/spreadsheetml/2006/main" count="69" uniqueCount="51">
  <si>
    <t>ma_gc</t>
  </si>
  <si>
    <t>ten_goi_chup</t>
  </si>
  <si>
    <t>gia_goi</t>
  </si>
  <si>
    <t>CN01</t>
  </si>
  <si>
    <t>Chup chan dung</t>
  </si>
  <si>
    <t>CK01</t>
  </si>
  <si>
    <t>Chup ky yeu lop</t>
  </si>
  <si>
    <t>CG01</t>
  </si>
  <si>
    <t>Chup gia dinh</t>
  </si>
  <si>
    <t>CS01</t>
  </si>
  <si>
    <t>Chup san pham</t>
  </si>
  <si>
    <t>CT01</t>
  </si>
  <si>
    <t>Chup anh the</t>
  </si>
  <si>
    <t>CB01</t>
  </si>
  <si>
    <t>Chup be yeu</t>
  </si>
  <si>
    <t>CC01</t>
  </si>
  <si>
    <t>Chup cuoi trong studio</t>
  </si>
  <si>
    <t>ma_lc</t>
  </si>
  <si>
    <t>ngay_chup</t>
  </si>
  <si>
    <t>so_buoi</t>
  </si>
  <si>
    <t>tien_chup</t>
  </si>
  <si>
    <t>LC001</t>
  </si>
  <si>
    <t>2026-05-01</t>
  </si>
  <si>
    <t>LC002</t>
  </si>
  <si>
    <t>2026-05-02</t>
  </si>
  <si>
    <t>LC003</t>
  </si>
  <si>
    <t>2026-05-03</t>
  </si>
  <si>
    <t>LC004</t>
  </si>
  <si>
    <t>2026-05-04</t>
  </si>
  <si>
    <t>LC005</t>
  </si>
  <si>
    <t>2026-05-05</t>
  </si>
  <si>
    <t>LC006</t>
  </si>
  <si>
    <t>2026-05-06</t>
  </si>
  <si>
    <t>LC007</t>
  </si>
  <si>
    <t>2026-05-07</t>
  </si>
  <si>
    <t>LC008</t>
  </si>
  <si>
    <t>2026-05-08</t>
  </si>
  <si>
    <t>LC009</t>
  </si>
  <si>
    <t>2026-05-09</t>
  </si>
  <si>
    <t>LC010</t>
  </si>
  <si>
    <t>2026-05-10</t>
  </si>
  <si>
    <t>LC011</t>
  </si>
  <si>
    <t>2026-05-11</t>
  </si>
  <si>
    <t>LC012</t>
  </si>
  <si>
    <t>2026-05-12</t>
  </si>
  <si>
    <t>LC013</t>
  </si>
  <si>
    <t>2026-05-13</t>
  </si>
  <si>
    <t>LC014</t>
  </si>
  <si>
    <t>2026-05-14</t>
  </si>
  <si>
    <t>LC015</t>
  </si>
  <si>
    <t>2026-05-15</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</si>
</sst>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13</xdr:row>
      <xdr:rowOff>180975</xdr:rowOff>
    </xdr:from>
    <xdr:ext cx="2857500" cy="2857500"/>
    <mc:AlternateContent>
      <mc:Choice Requires="sle15">
        <xdr:graphicFrame>
          <xdr:nvGraphicFramePr>
            <xdr:cNvPr id="1" name="ma_lc_1"/>
            <xdr:cNvGraphicFramePr/>
          </xdr:nvGraphicFramePr>
          <xdr:xfrm>
            <a:off x="0" y="0"/>
            <a:ext cx="0" cy="0"/>
          </xdr:xfrm>
          <a:graphic>
            <a:graphicData uri="http://schemas.microsoft.com/office/drawing/2010/slicer">
              <x3Unk:slicer name="ma_lc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ma_lc">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a_lc_1" cache="SlicerCache_Table_1_Col_1" caption="ma_lc" rowHeight="247650"/>
</x14:slicers>
</file>

<file path=xl/tables/table1.xml><?xml version="1.0" encoding="utf-8"?>
<table xmlns="http://schemas.openxmlformats.org/spreadsheetml/2006/main" ref="A1:G16" displayName="Table_1" name="Table_1" id="1">
  <autoFilter ref="$A$1:$G$16"/>
  <tableColumns count="7">
    <tableColumn name="ma_lc" id="1"/>
    <tableColumn name="ngay_chup" id="2"/>
    <tableColumn name="ma_gc" id="3"/>
    <tableColumn name="so_buoi" id="4"/>
    <tableColumn name="ten_goi_chup" id="5"/>
    <tableColumn name="gia_goi" id="6"/>
    <tableColumn name="tien_chup"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5.0"/>
    <col customWidth="1" min="8" max="26" width="8.71"/>
  </cols>
  <sheetData>
    <row r="1">
      <c r="A1" s="1" t="s">
        <v>17</v>
      </c>
      <c r="B1" s="1" t="s">
        <v>18</v>
      </c>
      <c r="C1" s="1" t="s">
        <v>0</v>
      </c>
      <c r="D1" s="1" t="s">
        <v>19</v>
      </c>
      <c r="E1" s="1" t="s">
        <v>1</v>
      </c>
      <c r="F1" s="1" t="s">
        <v>2</v>
      </c>
      <c r="G1" s="1" t="s">
        <v>20</v>
      </c>
    </row>
    <row r="2">
      <c r="A2" s="1" t="s">
        <v>21</v>
      </c>
      <c r="B2" s="1" t="s">
        <v>22</v>
      </c>
      <c r="C2" s="1" t="s">
        <v>3</v>
      </c>
      <c r="D2" s="1">
        <v>2.0</v>
      </c>
      <c r="E2" s="1" t="str">
        <f>(VLOOKUP(C2, GoiChup!A$1:C$8, 2, 0))</f>
        <v>Chup chan dung</v>
      </c>
      <c r="F2" s="1">
        <f>(VLOOKUP(C2, GoiChup!A$1:C$8, 3, 0))</f>
        <v>800000</v>
      </c>
      <c r="G2" s="1">
        <f t="shared" ref="G2:G16" si="1">D2*F2</f>
        <v>1600000</v>
      </c>
    </row>
    <row r="3">
      <c r="A3" s="1" t="s">
        <v>23</v>
      </c>
      <c r="B3" s="1" t="s">
        <v>24</v>
      </c>
      <c r="C3" s="1" t="s">
        <v>11</v>
      </c>
      <c r="D3" s="1">
        <v>5.0</v>
      </c>
      <c r="E3" s="1" t="str">
        <f>(VLOOKUP(C3, GoiChup!A$1:C$8, 2, 0))</f>
        <v>Chup anh the</v>
      </c>
      <c r="F3" s="1">
        <f>(VLOOKUP(C3, GoiChup!A$1:C$8, 3, 0))</f>
        <v>50000</v>
      </c>
      <c r="G3" s="1">
        <f t="shared" si="1"/>
        <v>250000</v>
      </c>
    </row>
    <row r="4">
      <c r="A4" s="1" t="s">
        <v>25</v>
      </c>
      <c r="B4" s="1" t="s">
        <v>26</v>
      </c>
      <c r="C4" s="1" t="s">
        <v>13</v>
      </c>
      <c r="D4" s="1">
        <v>1.0</v>
      </c>
      <c r="E4" s="1" t="str">
        <f>(VLOOKUP(C4, GoiChup!A$1:C$8, 2, 0))</f>
        <v>Chup be yeu</v>
      </c>
      <c r="F4" s="1">
        <f>(VLOOKUP(C4, GoiChup!A$1:C$8, 3, 0))</f>
        <v>900000</v>
      </c>
      <c r="G4" s="1">
        <f t="shared" si="1"/>
        <v>900000</v>
      </c>
    </row>
    <row r="5">
      <c r="A5" s="1" t="s">
        <v>27</v>
      </c>
      <c r="B5" s="1" t="s">
        <v>28</v>
      </c>
      <c r="C5" s="1" t="s">
        <v>11</v>
      </c>
      <c r="D5" s="1">
        <v>1.0</v>
      </c>
      <c r="E5" s="1" t="str">
        <f>(VLOOKUP(C5, GoiChup!A$1:C$8, 2, 0))</f>
        <v>Chup anh the</v>
      </c>
      <c r="F5" s="1">
        <f>(VLOOKUP(C5, GoiChup!A$1:C$8, 3, 0))</f>
        <v>50000</v>
      </c>
      <c r="G5" s="1">
        <f t="shared" si="1"/>
        <v>50000</v>
      </c>
    </row>
    <row r="6">
      <c r="A6" s="1" t="s">
        <v>29</v>
      </c>
      <c r="B6" s="1" t="s">
        <v>30</v>
      </c>
      <c r="C6" s="1" t="s">
        <v>13</v>
      </c>
      <c r="D6" s="1">
        <v>5.0</v>
      </c>
      <c r="E6" s="1" t="str">
        <f>(VLOOKUP(C6, GoiChup!A$1:C$8, 2, 0))</f>
        <v>Chup be yeu</v>
      </c>
      <c r="F6" s="1">
        <f>(VLOOKUP(C6, GoiChup!A$1:C$8, 3, 0))</f>
        <v>900000</v>
      </c>
      <c r="G6" s="1">
        <f t="shared" si="1"/>
        <v>4500000</v>
      </c>
    </row>
    <row r="7">
      <c r="A7" s="1" t="s">
        <v>31</v>
      </c>
      <c r="B7" s="1" t="s">
        <v>32</v>
      </c>
      <c r="C7" s="1" t="s">
        <v>11</v>
      </c>
      <c r="D7" s="1">
        <v>2.0</v>
      </c>
      <c r="E7" s="1" t="str">
        <f>(VLOOKUP(C7, GoiChup!A$1:C$8, 2, 0))</f>
        <v>Chup anh the</v>
      </c>
      <c r="F7" s="1">
        <f>(VLOOKUP(C7, GoiChup!A$1:C$8, 3, 0))</f>
        <v>50000</v>
      </c>
      <c r="G7" s="1">
        <f t="shared" si="1"/>
        <v>100000</v>
      </c>
    </row>
    <row r="8">
      <c r="A8" s="1" t="s">
        <v>33</v>
      </c>
      <c r="B8" s="1" t="s">
        <v>34</v>
      </c>
      <c r="C8" s="1" t="s">
        <v>7</v>
      </c>
      <c r="D8" s="1">
        <v>5.0</v>
      </c>
      <c r="E8" s="1" t="str">
        <f>(VLOOKUP(C8, GoiChup!A$1:C$8, 2, 0))</f>
        <v>Chup gia dinh</v>
      </c>
      <c r="F8" s="1">
        <f>(VLOOKUP(C8, GoiChup!A$1:C$8, 3, 0))</f>
        <v>1500000</v>
      </c>
      <c r="G8" s="1">
        <f t="shared" si="1"/>
        <v>7500000</v>
      </c>
    </row>
    <row r="9">
      <c r="A9" s="1" t="s">
        <v>35</v>
      </c>
      <c r="B9" s="1" t="s">
        <v>36</v>
      </c>
      <c r="C9" s="1" t="s">
        <v>11</v>
      </c>
      <c r="D9" s="1">
        <v>5.0</v>
      </c>
      <c r="E9" s="1" t="str">
        <f>(VLOOKUP(C9, GoiChup!A$1:C$8, 2, 0))</f>
        <v>Chup anh the</v>
      </c>
      <c r="F9" s="1">
        <f>(VLOOKUP(C9, GoiChup!A$1:C$8, 3, 0))</f>
        <v>50000</v>
      </c>
      <c r="G9" s="1">
        <f t="shared" si="1"/>
        <v>250000</v>
      </c>
    </row>
    <row r="10">
      <c r="A10" s="1" t="s">
        <v>37</v>
      </c>
      <c r="B10" s="1" t="s">
        <v>38</v>
      </c>
      <c r="C10" s="1" t="s">
        <v>5</v>
      </c>
      <c r="D10" s="1">
        <v>3.0</v>
      </c>
      <c r="E10" s="1" t="str">
        <f>(VLOOKUP(C10, GoiChup!A$1:C$8, 2, 0))</f>
        <v>Chup ky yeu lop</v>
      </c>
      <c r="F10" s="1">
        <f>(VLOOKUP(C10, GoiChup!A$1:C$8, 3, 0))</f>
        <v>1200000</v>
      </c>
      <c r="G10" s="1">
        <f t="shared" si="1"/>
        <v>3600000</v>
      </c>
    </row>
    <row r="11">
      <c r="A11" s="1" t="s">
        <v>39</v>
      </c>
      <c r="B11" s="1" t="s">
        <v>40</v>
      </c>
      <c r="C11" s="1" t="s">
        <v>5</v>
      </c>
      <c r="D11" s="1">
        <v>1.0</v>
      </c>
      <c r="E11" s="1" t="str">
        <f>(VLOOKUP(C11, GoiChup!A$1:C$8, 2, 0))</f>
        <v>Chup ky yeu lop</v>
      </c>
      <c r="F11" s="1">
        <f>(VLOOKUP(C11, GoiChup!A$1:C$8, 3, 0))</f>
        <v>1200000</v>
      </c>
      <c r="G11" s="1">
        <f t="shared" si="1"/>
        <v>1200000</v>
      </c>
    </row>
    <row r="12">
      <c r="A12" s="1" t="s">
        <v>41</v>
      </c>
      <c r="B12" s="1" t="s">
        <v>42</v>
      </c>
      <c r="C12" s="1" t="s">
        <v>9</v>
      </c>
      <c r="D12" s="1">
        <v>1.0</v>
      </c>
      <c r="E12" s="1" t="str">
        <f>(VLOOKUP(C12, GoiChup!A$1:C$8, 2, 0))</f>
        <v>Chup san pham</v>
      </c>
      <c r="F12" s="1">
        <f>(VLOOKUP(C12, GoiChup!A$1:C$8, 3, 0))</f>
        <v>600000</v>
      </c>
      <c r="G12" s="1">
        <f t="shared" si="1"/>
        <v>600000</v>
      </c>
    </row>
    <row r="13">
      <c r="A13" s="1" t="s">
        <v>43</v>
      </c>
      <c r="B13" s="1" t="s">
        <v>44</v>
      </c>
      <c r="C13" s="1" t="s">
        <v>5</v>
      </c>
      <c r="D13" s="1">
        <v>2.0</v>
      </c>
      <c r="E13" s="1" t="str">
        <f>(VLOOKUP(C13, GoiChup!A$1:C$8, 2, 0))</f>
        <v>Chup ky yeu lop</v>
      </c>
      <c r="F13" s="1">
        <f>(VLOOKUP(C13, GoiChup!A$1:C$8, 3, 0))</f>
        <v>1200000</v>
      </c>
      <c r="G13" s="1">
        <f t="shared" si="1"/>
        <v>2400000</v>
      </c>
    </row>
    <row r="14">
      <c r="A14" s="1" t="s">
        <v>45</v>
      </c>
      <c r="B14" s="1" t="s">
        <v>46</v>
      </c>
      <c r="C14" s="1" t="s">
        <v>15</v>
      </c>
      <c r="D14" s="1">
        <v>3.0</v>
      </c>
      <c r="E14" s="1" t="str">
        <f>(VLOOKUP(C14, GoiChup!A$1:C$8, 2, 0))</f>
        <v>Chup cuoi trong studio</v>
      </c>
      <c r="F14" s="1">
        <f>(VLOOKUP(C14, GoiChup!A$1:C$8, 3, 0))</f>
        <v>2500000</v>
      </c>
      <c r="G14" s="1">
        <f t="shared" si="1"/>
        <v>7500000</v>
      </c>
    </row>
    <row r="15">
      <c r="A15" s="1" t="s">
        <v>47</v>
      </c>
      <c r="B15" s="1" t="s">
        <v>48</v>
      </c>
      <c r="C15" s="1" t="s">
        <v>13</v>
      </c>
      <c r="D15" s="1">
        <v>4.0</v>
      </c>
      <c r="E15" s="1" t="str">
        <f>(VLOOKUP(C15, GoiChup!A$1:C$8, 2, 0))</f>
        <v>Chup be yeu</v>
      </c>
      <c r="F15" s="1">
        <f>(VLOOKUP(C15, GoiChup!A$1:C$8, 3, 0))</f>
        <v>900000</v>
      </c>
      <c r="G15" s="1">
        <f t="shared" si="1"/>
        <v>3600000</v>
      </c>
    </row>
    <row r="16">
      <c r="A16" s="1" t="s">
        <v>49</v>
      </c>
      <c r="B16" s="1" t="s">
        <v>50</v>
      </c>
      <c r="C16" s="1" t="s">
        <v>15</v>
      </c>
      <c r="D16" s="1">
        <v>2.0</v>
      </c>
      <c r="E16" s="1" t="str">
        <f>(VLOOKUP(C16, GoiChup!A$1:C$8, 2, 0))</f>
        <v>Chup cuoi trong studio</v>
      </c>
      <c r="F16" s="1">
        <f>(VLOOKUP(C16, GoiChup!A$1:C$8, 3, 0))</f>
        <v>2500000</v>
      </c>
      <c r="G16" s="1">
        <f t="shared" si="1"/>
        <v>5000000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42A514D-0399-4DBE-9AF3-ECA017267A63}" filter="1" showAutoFilter="1">
      <autoFilter ref="$A$1:$G$16"/>
    </customSheetView>
  </customSheetViews>
  <printOptions/>
  <pageMargins bottom="1.0" footer="0.0" header="0.0" left="0.75" right="0.75" top="1.0"/>
  <pageSetup orientation="landscape"/>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5.0"/>
    <col customWidth="1" min="7" max="26" width="8.71"/>
  </cols>
  <sheetData>
    <row r="1">
      <c r="A1" s="1" t="s">
        <v>0</v>
      </c>
      <c r="B1" s="1" t="s">
        <v>1</v>
      </c>
      <c r="C1" s="1" t="s">
        <v>2</v>
      </c>
    </row>
    <row r="2">
      <c r="A2" s="1" t="s">
        <v>3</v>
      </c>
      <c r="B2" s="1" t="s">
        <v>4</v>
      </c>
      <c r="C2" s="1">
        <v>800000.0</v>
      </c>
    </row>
    <row r="3">
      <c r="A3" s="1" t="s">
        <v>5</v>
      </c>
      <c r="B3" s="1" t="s">
        <v>6</v>
      </c>
      <c r="C3" s="1">
        <v>1200000.0</v>
      </c>
    </row>
    <row r="4">
      <c r="A4" s="1" t="s">
        <v>7</v>
      </c>
      <c r="B4" s="1" t="s">
        <v>8</v>
      </c>
      <c r="C4" s="1">
        <v>1500000.0</v>
      </c>
    </row>
    <row r="5">
      <c r="A5" s="1" t="s">
        <v>9</v>
      </c>
      <c r="B5" s="1" t="s">
        <v>10</v>
      </c>
      <c r="C5" s="1">
        <v>600000.0</v>
      </c>
    </row>
    <row r="6">
      <c r="A6" s="1" t="s">
        <v>11</v>
      </c>
      <c r="B6" s="1" t="s">
        <v>12</v>
      </c>
      <c r="C6" s="1">
        <v>50000.0</v>
      </c>
    </row>
    <row r="7">
      <c r="A7" s="1" t="s">
        <v>13</v>
      </c>
      <c r="B7" s="1" t="s">
        <v>14</v>
      </c>
      <c r="C7" s="1">
        <v>900000.0</v>
      </c>
    </row>
    <row r="8">
      <c r="A8" s="1" t="s">
        <v>15</v>
      </c>
      <c r="B8" s="1" t="s">
        <v>16</v>
      </c>
      <c r="C8" s="1">
        <v>2500000.0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